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3" i="1"/>
  <c r="G4"/>
  <c r="G5"/>
  <c r="G6"/>
  <c r="G7"/>
  <c r="G8"/>
  <c r="G9"/>
  <c r="G10"/>
  <c r="G11"/>
  <c r="G2"/>
  <c r="O24"/>
  <c r="E42"/>
  <c r="E35"/>
  <c r="E40" s="1"/>
  <c r="G40" s="1"/>
  <c r="H40" s="1"/>
  <c r="E39"/>
  <c r="G39" s="1"/>
  <c r="H39" s="1"/>
  <c r="F2"/>
  <c r="F3"/>
  <c r="F4"/>
  <c r="F5"/>
  <c r="F6"/>
  <c r="F7"/>
  <c r="F8"/>
  <c r="F9"/>
  <c r="F10"/>
  <c r="F11"/>
  <c r="E24"/>
  <c r="E14"/>
  <c r="I2"/>
  <c r="E15"/>
  <c r="R19" s="1"/>
  <c r="I3"/>
  <c r="I4"/>
  <c r="I5"/>
  <c r="I6"/>
  <c r="I7"/>
  <c r="I8"/>
  <c r="I9"/>
  <c r="I10"/>
  <c r="I11"/>
  <c r="E19"/>
  <c r="L19" s="1"/>
  <c r="O19" s="1"/>
  <c r="E20"/>
  <c r="E21"/>
  <c r="L21" s="1"/>
  <c r="E28"/>
  <c r="R21" l="1"/>
  <c r="E44"/>
  <c r="O21"/>
  <c r="I24"/>
</calcChain>
</file>

<file path=xl/sharedStrings.xml><?xml version="1.0" encoding="utf-8"?>
<sst xmlns="http://schemas.openxmlformats.org/spreadsheetml/2006/main" count="63" uniqueCount="59">
  <si>
    <t>Point Designation</t>
  </si>
  <si>
    <t>Sr. No.</t>
  </si>
  <si>
    <t>Distance from LRC (in meters)</t>
  </si>
  <si>
    <t>X-coordinate (northings)</t>
  </si>
  <si>
    <t>Y-coordinate (eastings)</t>
  </si>
  <si>
    <t>Minhas Airbase (Kamra, Attock)</t>
  </si>
  <si>
    <t>Cruise speed is 260 km/hr.</t>
  </si>
  <si>
    <t>Time (in minuites) for transportation of the allocated relief from LRC to an affected area at maximum</t>
  </si>
  <si>
    <t>Travel time (in minuites) of helicopters from Minhas Airbase to LRC</t>
  </si>
  <si>
    <t>Max. Weight we need to transport via a helicopter (kg)</t>
  </si>
  <si>
    <t>Range of Mi-17 helicopter at the max. weight (km)</t>
  </si>
  <si>
    <t>Milage of Mi-17 helicopter at the max. weight (km/kg)</t>
  </si>
  <si>
    <t>Weight of main fuel tank (kg)</t>
  </si>
  <si>
    <t>https://jet-a1-fuel.com/jp-54-price/pakistan</t>
  </si>
  <si>
    <t>https://vast.aero/archives/symposium/2017%20EASA%20Russian%20Helicopters.pdf</t>
  </si>
  <si>
    <t>https://www.rhc.aero/en/catalog/mi-171a2</t>
  </si>
  <si>
    <t>https://compactprovisions.com/bp-5s#:~:text=Backed%20by%2070%2B%20years%20of,two%20days%20in%20a%20crisis.</t>
  </si>
  <si>
    <t>Jet fuel rate per kg (in dollars)</t>
  </si>
  <si>
    <t>Weight we need to transport via a helicopter with 1000000 (kg)</t>
  </si>
  <si>
    <t>Weight we need to transport via a helicopter with 2000000 (kg)</t>
  </si>
  <si>
    <t>Accessibility-based delivery cost (in dollars)</t>
  </si>
  <si>
    <t>Population</t>
  </si>
  <si>
    <t>Demand (kilo-calories)</t>
  </si>
  <si>
    <t>calories per person for survivel (kilo-cal./day)</t>
  </si>
  <si>
    <t>BP-5S – THE ORIGINAL EMERGENCY FOOD (Compact Provision) (kcal/kg)</t>
  </si>
  <si>
    <t>AA 1</t>
  </si>
  <si>
    <t>AA 2</t>
  </si>
  <si>
    <t>AA 3</t>
  </si>
  <si>
    <t>AA 4</t>
  </si>
  <si>
    <t>AA 5</t>
  </si>
  <si>
    <t>AA 6</t>
  </si>
  <si>
    <t>AA 7</t>
  </si>
  <si>
    <t>AA 8</t>
  </si>
  <si>
    <t>AA 9</t>
  </si>
  <si>
    <t>AA 10</t>
  </si>
  <si>
    <t>LRC</t>
  </si>
  <si>
    <t>Max. payload on external sling of MI-17 (kg)</t>
  </si>
  <si>
    <t>Max. Flight range without payload (km)</t>
  </si>
  <si>
    <t>The distance between Minhas Airbase and the LRC is well below the range of MI-17 helicopter which is 580 km with only main fuel tanks)</t>
  </si>
  <si>
    <t>Number of helicopters</t>
  </si>
  <si>
    <t>Number of trips by one helicopters in one time period</t>
  </si>
  <si>
    <t>Total time required by an helicopter to complete its job in one time period (hours)</t>
  </si>
  <si>
    <t>No. of trips in one time period</t>
  </si>
  <si>
    <t>Jet fuel density (kg/L)</t>
  </si>
  <si>
    <t>Jet fuel price per liter in Pakistan (in dollars)</t>
  </si>
  <si>
    <t>https://www.icao.int/dataplus_archive/documents/glossary.docx</t>
  </si>
  <si>
    <t>Total number of hours for transporting one unit of capacity (hr.)</t>
  </si>
  <si>
    <t>Maximum payload capacity of C-130 (kg)</t>
  </si>
  <si>
    <t>Maximum volume can be loaded in C-130 (LITERS)</t>
  </si>
  <si>
    <t>Weight of one serving in BP-5S – THE ORIGINAL EMERGENCY FOOD (Compact Provision) (kg)</t>
  </si>
  <si>
    <t>Volume of one serving (based on volume of one box of BP-5S – THE ORIGINAL EMERGENCY FOOD (Compact Provision)) (liters)</t>
  </si>
  <si>
    <t>limit on the number of servings based on payload limit of C-130</t>
  </si>
  <si>
    <t>limit on the number of servings based on volume limit of C-130</t>
  </si>
  <si>
    <t>(kcal)</t>
  </si>
  <si>
    <t>cap units</t>
  </si>
  <si>
    <t>Minimum C-130s which can be handled at Chitral Airport in 4hr.</t>
  </si>
  <si>
    <t>Capacity</t>
  </si>
  <si>
    <t>3816.56, 2286.98, 436.18, 4016.12, 6236.36, 8589.05, 8716.86, 97450.05, 20350.12, 24694.43</t>
  </si>
  <si>
    <t>Trip Flight time (min.)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</si>
</sst>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2" fillId="0" borderId="0" xfId="1" applyNumberFormat="1" applyAlignment="1" applyProtection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2" fontId="0" fillId="2" borderId="0" xfId="0" applyNumberFormat="1" applyFill="1" applyBorder="1" applyAlignment="1">
      <alignment horizontal="center" vertical="center" wrapText="1"/>
    </xf>
    <xf numFmtId="0" fontId="2" fillId="0" borderId="0" xfId="1" applyAlignment="1" applyProtection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" fontId="0" fillId="3" borderId="0" xfId="0" applyNumberFormat="1" applyFill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ast.aero/archives/symposium/2017%20EASA%20Russian%20Helicopters.pdf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vast.aero/archives/symposium/2017%20EASA%20Russian%20Helicopters.pdf" TargetMode="External"/><Relationship Id="rId1" Type="http://schemas.openxmlformats.org/officeDocument/2006/relationships/hyperlink" Target="https://jet-a1-fuel.com/jp-54-price/pakistan" TargetMode="External"/><Relationship Id="rId6" Type="http://schemas.openxmlformats.org/officeDocument/2006/relationships/hyperlink" Target="https://www.icao.int/dataplus_archive/documents/glossary.docx" TargetMode="External"/><Relationship Id="rId5" Type="http://schemas.openxmlformats.org/officeDocument/2006/relationships/hyperlink" Target="https://compactprovisions.com/bp-5s" TargetMode="External"/><Relationship Id="rId4" Type="http://schemas.openxmlformats.org/officeDocument/2006/relationships/hyperlink" Target="https://www.rhc.aero/en/catalog/mi-171a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9"/>
  <sheetViews>
    <sheetView tabSelected="1" workbookViewId="0">
      <selection activeCell="L4" sqref="L4"/>
    </sheetView>
  </sheetViews>
  <sheetFormatPr defaultRowHeight="15"/>
  <cols>
    <col min="1" max="1" width="9.140625" style="1"/>
    <col min="2" max="2" width="12.42578125" style="2" customWidth="1"/>
    <col min="3" max="3" width="13.7109375" style="2" customWidth="1"/>
    <col min="4" max="4" width="14.140625" style="2" customWidth="1"/>
    <col min="5" max="6" width="15.28515625" style="2" customWidth="1"/>
    <col min="7" max="7" width="23.42578125" style="2" customWidth="1"/>
    <col min="8" max="8" width="11.7109375" style="2" customWidth="1"/>
    <col min="9" max="9" width="10.5703125" style="2" bestFit="1" customWidth="1"/>
    <col min="10" max="10" width="9.140625" style="2"/>
    <col min="11" max="11" width="15.5703125" style="2" customWidth="1"/>
    <col min="12" max="12" width="10.5703125" style="2" bestFit="1" customWidth="1"/>
    <col min="13" max="13" width="9.140625" style="2"/>
    <col min="14" max="15" width="11.5703125" style="2" bestFit="1" customWidth="1"/>
    <col min="16" max="17" width="9.140625" style="2"/>
    <col min="18" max="18" width="11.5703125" style="2" bestFit="1" customWidth="1"/>
    <col min="19" max="16384" width="9.140625" style="2"/>
  </cols>
  <sheetData>
    <row r="1" spans="1:14" s="1" customFormat="1" ht="45" customHeight="1">
      <c r="A1" s="11" t="s">
        <v>1</v>
      </c>
      <c r="B1" s="10" t="s">
        <v>0</v>
      </c>
      <c r="C1" s="12" t="s">
        <v>3</v>
      </c>
      <c r="D1" s="12" t="s">
        <v>4</v>
      </c>
      <c r="E1" s="12" t="s">
        <v>2</v>
      </c>
      <c r="F1" s="12" t="s">
        <v>58</v>
      </c>
      <c r="G1" s="13" t="s">
        <v>20</v>
      </c>
      <c r="H1" s="6" t="s">
        <v>21</v>
      </c>
      <c r="I1" s="1" t="s">
        <v>22</v>
      </c>
    </row>
    <row r="2" spans="1:14" ht="16.5" customHeight="1">
      <c r="A2" s="5">
        <v>1</v>
      </c>
      <c r="B2" s="18" t="s">
        <v>25</v>
      </c>
      <c r="C2" s="8">
        <v>35.905831499999998</v>
      </c>
      <c r="D2" s="8">
        <v>71.805300799999998</v>
      </c>
      <c r="E2" s="8">
        <v>2751.60562643404</v>
      </c>
      <c r="F2" s="8">
        <f>((E2/(230 *1000))*60)*2</f>
        <v>1.4356203268351513</v>
      </c>
      <c r="G2" s="9">
        <f>(E2/1000)*(1870/465) *0.55*2 + 3000 * ($L$19*F2)/60</f>
        <v>3816.5660226154614</v>
      </c>
      <c r="H2" s="9">
        <v>10000</v>
      </c>
      <c r="I2" s="3">
        <f t="shared" ref="I2:I11" si="0">((($E$16*H2)/24)*4)/1000000</f>
        <v>3.1666666666666665</v>
      </c>
      <c r="J2" s="3"/>
      <c r="L2" s="3"/>
      <c r="M2" s="3"/>
      <c r="N2" s="2" t="s">
        <v>57</v>
      </c>
    </row>
    <row r="3" spans="1:14">
      <c r="A3" s="7">
        <v>2</v>
      </c>
      <c r="B3" s="18" t="s">
        <v>26</v>
      </c>
      <c r="C3" s="8">
        <v>35.866881999999997</v>
      </c>
      <c r="D3" s="8">
        <v>71.798248999999998</v>
      </c>
      <c r="E3" s="8">
        <v>1648.83185792738</v>
      </c>
      <c r="F3" s="8">
        <f>((E3/(230 *1000))*60)*2</f>
        <v>0.86026009978819828</v>
      </c>
      <c r="G3" s="9">
        <f>(E3/1000)*(1870/465) *0.55*2 + 3000 * ($L$19*F3)/60</f>
        <v>2286.9831292382023</v>
      </c>
      <c r="H3" s="9">
        <v>10000</v>
      </c>
      <c r="I3" s="3">
        <f t="shared" si="0"/>
        <v>3.1666666666666665</v>
      </c>
      <c r="J3" s="3"/>
      <c r="M3" s="3"/>
    </row>
    <row r="4" spans="1:14">
      <c r="A4" s="7">
        <v>3</v>
      </c>
      <c r="B4" s="18" t="s">
        <v>27</v>
      </c>
      <c r="C4" s="8">
        <v>35.880662600000001</v>
      </c>
      <c r="D4" s="8">
        <v>71.794846199999995</v>
      </c>
      <c r="E4" s="8">
        <v>314.47037340724597</v>
      </c>
      <c r="F4" s="8">
        <f>((E4/(230 *1000))*60)*2</f>
        <v>0.16407149916899791</v>
      </c>
      <c r="G4" s="9">
        <f>(E4/1000)*(1870/465) *0.55*2 + 3000 * ($L$19*F4)/60</f>
        <v>436.18058152493848</v>
      </c>
      <c r="H4" s="9">
        <v>10000</v>
      </c>
      <c r="I4" s="3">
        <f t="shared" si="0"/>
        <v>3.1666666666666665</v>
      </c>
      <c r="J4" s="3"/>
      <c r="L4" s="3"/>
      <c r="M4" s="3"/>
    </row>
    <row r="5" spans="1:14" ht="15" customHeight="1">
      <c r="A5" s="7">
        <v>4</v>
      </c>
      <c r="B5" s="18" t="s">
        <v>28</v>
      </c>
      <c r="C5" s="8">
        <v>35.857608200000001</v>
      </c>
      <c r="D5" s="8">
        <v>71.785868899999997</v>
      </c>
      <c r="E5" s="8">
        <v>2895.4779276444201</v>
      </c>
      <c r="F5" s="8">
        <f>((E5/(230 *1000))*60)*2</f>
        <v>1.5106841361623062</v>
      </c>
      <c r="G5" s="9">
        <f>(E5/1000)*(1870/465) *0.55*2 + 3000 * ($L$19*F5)/60</f>
        <v>4016.1215588885298</v>
      </c>
      <c r="H5" s="9">
        <v>10000</v>
      </c>
      <c r="I5" s="3">
        <f t="shared" si="0"/>
        <v>3.1666666666666665</v>
      </c>
      <c r="J5" s="3"/>
      <c r="L5" s="3"/>
      <c r="M5" s="3"/>
    </row>
    <row r="6" spans="1:14">
      <c r="A6" s="7">
        <v>5</v>
      </c>
      <c r="B6" s="18" t="s">
        <v>29</v>
      </c>
      <c r="C6" s="8">
        <v>35.8440461</v>
      </c>
      <c r="D6" s="8">
        <v>71.779799400000002</v>
      </c>
      <c r="E6" s="8">
        <v>4496.1911128921301</v>
      </c>
      <c r="F6" s="8">
        <f>((E6/(230 *1000))*60)*2</f>
        <v>2.3458388415089377</v>
      </c>
      <c r="G6" s="9">
        <f>(E6/1000)*(1870/465) *0.55*2 + 3000 * ($L$19*F6)/60</f>
        <v>6236.3625324056075</v>
      </c>
      <c r="H6" s="9">
        <v>10000</v>
      </c>
      <c r="I6" s="3">
        <f t="shared" si="0"/>
        <v>3.1666666666666665</v>
      </c>
      <c r="J6" s="3"/>
      <c r="L6" s="3"/>
      <c r="M6" s="3"/>
    </row>
    <row r="7" spans="1:14">
      <c r="A7" s="7">
        <v>6</v>
      </c>
      <c r="B7" s="18" t="s">
        <v>30</v>
      </c>
      <c r="C7" s="8">
        <v>35.831003535361397</v>
      </c>
      <c r="D7" s="8">
        <v>71.772650297267404</v>
      </c>
      <c r="E7" s="8">
        <v>6192.3968972887296</v>
      </c>
      <c r="F7" s="8">
        <f>((E7/(230 *1000))*60)*2</f>
        <v>3.2308157724984676</v>
      </c>
      <c r="G7" s="9">
        <f>(E7/1000)*(1870/465) *0.55*2 + 3000 * ($L$19*F7)/60</f>
        <v>8589.0548302773332</v>
      </c>
      <c r="H7" s="9">
        <v>10000</v>
      </c>
      <c r="I7" s="3">
        <f t="shared" si="0"/>
        <v>3.1666666666666665</v>
      </c>
      <c r="J7" s="3"/>
      <c r="L7" s="3"/>
      <c r="M7" s="3"/>
    </row>
    <row r="8" spans="1:14">
      <c r="A8" s="7">
        <v>7</v>
      </c>
      <c r="B8" s="18" t="s">
        <v>31</v>
      </c>
      <c r="C8" s="8">
        <v>35.826502099999999</v>
      </c>
      <c r="D8" s="8">
        <v>71.782691</v>
      </c>
      <c r="E8" s="8">
        <v>6284.5378979908101</v>
      </c>
      <c r="F8" s="8">
        <f>((E8/(230 *1000))*60)*2</f>
        <v>3.2788893380821618</v>
      </c>
      <c r="G8" s="9">
        <f>(E8/1000)*(1870/465) *0.55*2 + 3000 * ($L$19*F8)/60</f>
        <v>8716.8573791567978</v>
      </c>
      <c r="H8" s="9">
        <v>10000</v>
      </c>
      <c r="I8" s="3">
        <f t="shared" si="0"/>
        <v>3.1666666666666665</v>
      </c>
      <c r="J8" s="3"/>
      <c r="L8" s="3"/>
      <c r="M8" s="3"/>
    </row>
    <row r="9" spans="1:14">
      <c r="A9" s="7">
        <v>8</v>
      </c>
      <c r="B9" s="18" t="s">
        <v>32</v>
      </c>
      <c r="C9" s="8">
        <v>35.804746799999997</v>
      </c>
      <c r="D9" s="8">
        <v>71.783176800000007</v>
      </c>
      <c r="E9" s="8">
        <v>70257.953661009</v>
      </c>
      <c r="F9" s="8">
        <f>((E9/(230 *1000))*60)*2</f>
        <v>36.656323649222088</v>
      </c>
      <c r="G9" s="9">
        <f>(E9/1000)*(1870/465) *0.55*2 + 3000 * ($L$19*F9)/60</f>
        <v>97450.054682655085</v>
      </c>
      <c r="H9" s="9">
        <v>10000</v>
      </c>
      <c r="I9" s="3">
        <f t="shared" si="0"/>
        <v>3.1666666666666665</v>
      </c>
      <c r="J9" s="3"/>
      <c r="L9" s="3"/>
      <c r="M9" s="3"/>
    </row>
    <row r="10" spans="1:14">
      <c r="A10" s="7">
        <v>9</v>
      </c>
      <c r="B10" s="18" t="s">
        <v>33</v>
      </c>
      <c r="C10" s="8">
        <v>35.749897300000001</v>
      </c>
      <c r="D10" s="8">
        <v>71.785666800000001</v>
      </c>
      <c r="E10" s="8">
        <v>14671.697695667101</v>
      </c>
      <c r="F10" s="8">
        <f>((E10/(230 *1000))*60)*2</f>
        <v>7.6547987977393568</v>
      </c>
      <c r="G10" s="9">
        <f>(E10/1000)*(1870/465) *0.55*2 + 3000 * ($L$19*F10)/60</f>
        <v>20350.119356288837</v>
      </c>
      <c r="H10" s="9">
        <v>10000</v>
      </c>
      <c r="I10" s="3">
        <f t="shared" si="0"/>
        <v>3.1666666666666665</v>
      </c>
      <c r="J10" s="3"/>
      <c r="L10" s="3"/>
      <c r="M10" s="3"/>
    </row>
    <row r="11" spans="1:14">
      <c r="A11" s="20">
        <v>10</v>
      </c>
      <c r="B11" s="21" t="s">
        <v>34</v>
      </c>
      <c r="C11" s="22">
        <v>35.7244399147962</v>
      </c>
      <c r="D11" s="22">
        <v>71.767914082175594</v>
      </c>
      <c r="E11" s="22">
        <v>17803.7890218305</v>
      </c>
      <c r="F11" s="22">
        <f>((E11/(230 *1000))*60)*2</f>
        <v>9.288933402694175</v>
      </c>
      <c r="G11" s="23">
        <f>(E11/1000)*(1870/465) *0.55*2 + 3000 * ($L$19*F11)/60</f>
        <v>24694.431353737207</v>
      </c>
      <c r="H11" s="9">
        <v>10000</v>
      </c>
      <c r="I11" s="3">
        <f t="shared" si="0"/>
        <v>3.1666666666666665</v>
      </c>
      <c r="J11" s="3"/>
      <c r="L11" s="3"/>
      <c r="M11" s="3"/>
    </row>
    <row r="12" spans="1:14" ht="15" customHeight="1">
      <c r="A12" s="14">
        <v>13</v>
      </c>
      <c r="B12" s="15" t="s">
        <v>35</v>
      </c>
      <c r="C12" s="16">
        <v>35.881741400000003</v>
      </c>
      <c r="D12" s="16">
        <v>71.798066599999999</v>
      </c>
      <c r="E12" s="16">
        <v>0</v>
      </c>
      <c r="F12" s="16"/>
      <c r="G12" s="9">
        <v>0</v>
      </c>
      <c r="H12" s="8"/>
      <c r="I12" s="3"/>
      <c r="J12" s="3"/>
      <c r="K12" s="3"/>
      <c r="L12" s="3"/>
      <c r="M12" s="3"/>
    </row>
    <row r="13" spans="1:14" ht="60" customHeight="1">
      <c r="A13" s="1">
        <v>14</v>
      </c>
      <c r="B13" s="2" t="s">
        <v>5</v>
      </c>
      <c r="C13" s="3">
        <v>33.864927700000003</v>
      </c>
      <c r="D13" s="3">
        <v>72.415458200000003</v>
      </c>
      <c r="E13" s="3">
        <v>230750.73704901</v>
      </c>
      <c r="F13" s="3"/>
      <c r="J13" s="3"/>
      <c r="K13" s="3"/>
      <c r="L13" s="3"/>
      <c r="M13" s="3"/>
    </row>
    <row r="14" spans="1:14" ht="58.5" customHeight="1">
      <c r="C14" s="3"/>
      <c r="D14" s="3" t="s">
        <v>8</v>
      </c>
      <c r="E14" s="3">
        <f>(E13/(1000*230)) * 60</f>
        <v>60.195844447567829</v>
      </c>
      <c r="F14" s="3"/>
      <c r="G14" s="3"/>
      <c r="H14" s="3"/>
      <c r="I14" s="3"/>
      <c r="J14" s="3"/>
      <c r="K14" s="3"/>
      <c r="L14" s="3"/>
      <c r="M14" s="3"/>
    </row>
    <row r="15" spans="1:14" ht="64.5" customHeight="1">
      <c r="C15" s="3"/>
      <c r="D15" s="3" t="s">
        <v>7</v>
      </c>
      <c r="E15" s="3">
        <f>(MAX(E2:E11)/(230 *1000))*60</f>
        <v>18.328161824611044</v>
      </c>
      <c r="F15" s="3"/>
      <c r="G15" s="3"/>
      <c r="H15" s="3"/>
      <c r="I15" s="3"/>
      <c r="J15" s="3"/>
      <c r="K15" s="3"/>
      <c r="L15" s="3"/>
      <c r="M15" s="3"/>
    </row>
    <row r="16" spans="1:14" ht="45" customHeight="1">
      <c r="C16" s="3"/>
      <c r="D16" s="3" t="s">
        <v>23</v>
      </c>
      <c r="E16" s="3">
        <v>1900</v>
      </c>
      <c r="F16" s="3"/>
      <c r="G16" s="4"/>
      <c r="H16" s="4"/>
      <c r="I16" s="3"/>
      <c r="J16" s="3"/>
      <c r="K16" s="3" t="s">
        <v>39</v>
      </c>
      <c r="L16" s="3">
        <v>30</v>
      </c>
      <c r="M16" s="3"/>
    </row>
    <row r="17" spans="3:18" ht="43.5" customHeight="1">
      <c r="C17" s="3"/>
      <c r="D17" s="3" t="s">
        <v>36</v>
      </c>
      <c r="E17" s="3">
        <v>4000</v>
      </c>
      <c r="F17" s="3"/>
      <c r="G17" s="4" t="s">
        <v>15</v>
      </c>
      <c r="H17" s="4"/>
      <c r="I17" s="3"/>
      <c r="J17" s="3"/>
      <c r="K17" s="3"/>
      <c r="L17" s="3"/>
      <c r="M17" s="3"/>
    </row>
    <row r="18" spans="3:18" ht="29.25" customHeight="1">
      <c r="C18" s="3"/>
      <c r="D18" s="3" t="s">
        <v>24</v>
      </c>
      <c r="E18" s="3">
        <v>4.75</v>
      </c>
      <c r="F18" s="3"/>
      <c r="G18" s="4" t="s">
        <v>16</v>
      </c>
      <c r="H18" s="4"/>
      <c r="I18" s="3"/>
      <c r="J18" s="3"/>
      <c r="K18" s="3"/>
      <c r="L18" s="3"/>
      <c r="M18" s="3"/>
    </row>
    <row r="19" spans="3:18" ht="29.25" customHeight="1">
      <c r="C19" s="3"/>
      <c r="D19" s="3" t="s">
        <v>18</v>
      </c>
      <c r="E19" s="3">
        <f>1000000/E18</f>
        <v>210526.31578947368</v>
      </c>
      <c r="F19" s="3"/>
      <c r="G19" s="3">
        <v>605</v>
      </c>
      <c r="H19" s="3"/>
      <c r="I19" s="3"/>
      <c r="J19" s="3"/>
      <c r="K19" s="3" t="s">
        <v>42</v>
      </c>
      <c r="L19" s="19">
        <f>ROUNDUP(E19/E17,0)</f>
        <v>53</v>
      </c>
      <c r="M19" s="3"/>
      <c r="N19" s="2" t="s">
        <v>40</v>
      </c>
      <c r="O19" s="2">
        <f>L19/L16</f>
        <v>1.7666666666666666</v>
      </c>
      <c r="Q19" s="2" t="s">
        <v>41</v>
      </c>
      <c r="R19" s="2">
        <f>(6*E15)/60</f>
        <v>1.8328161824611044</v>
      </c>
    </row>
    <row r="20" spans="3:18" ht="29.25" customHeight="1">
      <c r="C20" s="3"/>
      <c r="D20" s="3" t="s">
        <v>19</v>
      </c>
      <c r="E20" s="3">
        <f>2000000/E18</f>
        <v>421052.63157894736</v>
      </c>
      <c r="F20" s="3"/>
      <c r="G20" s="3">
        <v>590</v>
      </c>
      <c r="H20" s="3"/>
      <c r="I20" s="3"/>
      <c r="J20" s="3"/>
      <c r="K20" s="3"/>
      <c r="L20" s="19"/>
      <c r="M20" s="3"/>
    </row>
    <row r="21" spans="3:18" ht="31.5" customHeight="1">
      <c r="C21" s="3"/>
      <c r="D21" s="3" t="s">
        <v>9</v>
      </c>
      <c r="E21" s="3">
        <f>3000000/E18</f>
        <v>631578.94736842101</v>
      </c>
      <c r="F21" s="3"/>
      <c r="I21" s="3"/>
      <c r="J21" s="3"/>
      <c r="K21" s="3" t="s">
        <v>42</v>
      </c>
      <c r="L21" s="19">
        <f>ROUNDUP(E21/E17,0)</f>
        <v>158</v>
      </c>
      <c r="M21" s="3"/>
      <c r="N21" s="2" t="s">
        <v>40</v>
      </c>
      <c r="O21" s="2">
        <f>L21/L16</f>
        <v>5.2666666666666666</v>
      </c>
      <c r="Q21" s="2" t="s">
        <v>41</v>
      </c>
      <c r="R21" s="2">
        <f>(6*E15)/60</f>
        <v>1.8328161824611044</v>
      </c>
    </row>
    <row r="22" spans="3:18" ht="48.75" customHeight="1">
      <c r="C22" s="3"/>
      <c r="D22" s="3" t="s">
        <v>10</v>
      </c>
      <c r="E22" s="3">
        <v>200</v>
      </c>
      <c r="F22" s="3"/>
      <c r="G22" s="4" t="s">
        <v>14</v>
      </c>
      <c r="H22" s="4"/>
      <c r="I22" s="3"/>
      <c r="J22" s="3"/>
      <c r="K22" s="3" t="s">
        <v>37</v>
      </c>
      <c r="L22" s="19">
        <v>580</v>
      </c>
      <c r="M22" s="3"/>
    </row>
    <row r="23" spans="3:18" ht="50.25" customHeight="1">
      <c r="C23" s="3"/>
      <c r="D23" s="3" t="s">
        <v>12</v>
      </c>
      <c r="E23" s="3">
        <v>1891</v>
      </c>
      <c r="F23" s="3"/>
      <c r="G23" s="4" t="s">
        <v>14</v>
      </c>
      <c r="H23" s="4"/>
      <c r="I23" s="3"/>
      <c r="J23" s="3"/>
      <c r="K23" s="3"/>
      <c r="L23" s="3"/>
      <c r="M23" s="3"/>
    </row>
    <row r="24" spans="3:18" ht="32.25" customHeight="1">
      <c r="C24" s="3"/>
      <c r="D24" s="3" t="s">
        <v>11</v>
      </c>
      <c r="E24" s="3">
        <f>((200/E23) +(580/E23))/2</f>
        <v>0.20624008461131677</v>
      </c>
      <c r="F24" s="3"/>
      <c r="G24" s="3"/>
      <c r="H24" s="3"/>
      <c r="I24" s="3">
        <f>1/E24</f>
        <v>4.8487179487179484</v>
      </c>
      <c r="J24" s="3"/>
      <c r="K24" s="3"/>
      <c r="L24" s="3"/>
      <c r="M24" s="3"/>
      <c r="N24" s="2" t="s">
        <v>46</v>
      </c>
      <c r="O24" s="2">
        <f>(L19*K12)/60</f>
        <v>0</v>
      </c>
    </row>
    <row r="25" spans="3:18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3:18" ht="34.5" customHeight="1">
      <c r="C26" s="3"/>
      <c r="D26" s="3" t="s">
        <v>43</v>
      </c>
      <c r="E26" s="2">
        <v>0.8</v>
      </c>
      <c r="G26" s="17" t="s">
        <v>45</v>
      </c>
      <c r="H26" s="4"/>
      <c r="I26" s="3"/>
      <c r="J26" s="3"/>
      <c r="K26" s="3"/>
      <c r="L26" s="3"/>
      <c r="M26" s="3"/>
    </row>
    <row r="27" spans="3:18" ht="30.75" customHeight="1">
      <c r="C27" s="3"/>
      <c r="D27" s="3" t="s">
        <v>44</v>
      </c>
      <c r="E27" s="3">
        <v>0.54700000000000004</v>
      </c>
      <c r="F27" s="3"/>
      <c r="G27" s="4" t="s">
        <v>13</v>
      </c>
      <c r="H27" s="4"/>
      <c r="I27" s="3"/>
      <c r="J27" s="3"/>
      <c r="K27" s="3"/>
      <c r="L27" s="3"/>
      <c r="M27" s="3"/>
    </row>
    <row r="28" spans="3:18" ht="31.5" customHeight="1">
      <c r="C28" s="3"/>
      <c r="D28" s="3" t="s">
        <v>17</v>
      </c>
      <c r="E28" s="3">
        <f>E27/E26</f>
        <v>0.68374999999999997</v>
      </c>
      <c r="F28" s="3"/>
      <c r="G28" s="3"/>
      <c r="H28" s="3"/>
      <c r="I28" s="3"/>
      <c r="J28" s="3"/>
      <c r="K28" s="3"/>
      <c r="L28" s="3"/>
      <c r="M28" s="3"/>
    </row>
    <row r="29" spans="3:18" ht="85.5" customHeight="1">
      <c r="C29" s="3"/>
      <c r="D29" s="3" t="s">
        <v>6</v>
      </c>
      <c r="E29" s="3" t="s">
        <v>38</v>
      </c>
      <c r="F29" s="3"/>
      <c r="G29" s="3"/>
      <c r="H29" s="3"/>
      <c r="I29" s="3"/>
      <c r="J29" s="3"/>
      <c r="K29" s="3"/>
      <c r="L29" s="3"/>
      <c r="M29" s="3"/>
    </row>
    <row r="30" spans="3:18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3:18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3:18" ht="30.75" customHeight="1">
      <c r="C32" s="3"/>
      <c r="D32" s="3" t="s">
        <v>47</v>
      </c>
      <c r="E32" s="3">
        <v>16880.893599999999</v>
      </c>
      <c r="F32" s="3"/>
      <c r="G32" s="3"/>
      <c r="H32" s="3"/>
      <c r="I32" s="3"/>
      <c r="J32" s="3"/>
      <c r="K32" s="3"/>
      <c r="L32" s="3"/>
      <c r="M32" s="3"/>
    </row>
    <row r="33" spans="3:13" ht="30" customHeight="1">
      <c r="C33" s="3"/>
      <c r="D33" s="3" t="s">
        <v>48</v>
      </c>
      <c r="E33" s="3">
        <v>127425.8</v>
      </c>
      <c r="F33" s="3"/>
      <c r="G33" s="3"/>
      <c r="H33" s="3"/>
      <c r="I33" s="3"/>
      <c r="J33" s="3"/>
      <c r="K33" s="3"/>
      <c r="L33" s="3"/>
      <c r="M33" s="3"/>
    </row>
    <row r="34" spans="3:13" ht="30" customHeight="1">
      <c r="C34" s="3"/>
      <c r="D34" s="3" t="s">
        <v>49</v>
      </c>
      <c r="E34" s="3">
        <v>5.6000000000000001E-2</v>
      </c>
      <c r="F34" s="3"/>
      <c r="G34" s="3"/>
      <c r="H34" s="3"/>
      <c r="I34" s="3"/>
      <c r="J34" s="3"/>
      <c r="K34" s="3"/>
      <c r="L34" s="3"/>
      <c r="M34" s="3"/>
    </row>
    <row r="35" spans="3:13" ht="30" customHeight="1">
      <c r="C35" s="3"/>
      <c r="D35" s="3" t="s">
        <v>50</v>
      </c>
      <c r="E35" s="3">
        <f>2.68/9</f>
        <v>0.29777777777777781</v>
      </c>
      <c r="F35" s="3"/>
      <c r="G35" s="3"/>
      <c r="H35" s="3"/>
      <c r="I35" s="3"/>
      <c r="J35" s="3"/>
      <c r="K35" s="3"/>
      <c r="L35" s="3"/>
      <c r="M35" s="3"/>
    </row>
    <row r="36" spans="3:13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3:13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3:13">
      <c r="C38" s="3"/>
      <c r="D38" s="3"/>
      <c r="E38" s="3"/>
      <c r="F38" s="3"/>
      <c r="G38" s="3" t="s">
        <v>53</v>
      </c>
      <c r="H38" s="3" t="s">
        <v>54</v>
      </c>
      <c r="I38" s="3"/>
      <c r="J38" s="3"/>
      <c r="K38" s="3"/>
      <c r="L38" s="3"/>
      <c r="M38" s="3"/>
    </row>
    <row r="39" spans="3:13" ht="30.75" customHeight="1">
      <c r="C39" s="3"/>
      <c r="D39" s="3" t="s">
        <v>51</v>
      </c>
      <c r="E39" s="3">
        <f>ROUNDDOWN(E32/E34, 0)</f>
        <v>301444</v>
      </c>
      <c r="F39" s="3"/>
      <c r="G39" s="3">
        <f>0.266*E39</f>
        <v>80184.104000000007</v>
      </c>
      <c r="H39" s="3">
        <f>G39/1000000</f>
        <v>8.0184104000000006E-2</v>
      </c>
      <c r="I39" s="3"/>
      <c r="J39" s="3"/>
      <c r="K39" s="3"/>
      <c r="L39" s="3"/>
      <c r="M39" s="3"/>
    </row>
    <row r="40" spans="3:13" ht="30" customHeight="1">
      <c r="C40" s="3"/>
      <c r="D40" s="3" t="s">
        <v>52</v>
      </c>
      <c r="E40" s="3">
        <f>ROUNDDOWN(E33/E35, 0)</f>
        <v>427922</v>
      </c>
      <c r="F40" s="3"/>
      <c r="G40" s="3">
        <f>0.266*E40</f>
        <v>113827.25200000001</v>
      </c>
      <c r="H40" s="3">
        <f>G40/1000000</f>
        <v>0.113827252</v>
      </c>
      <c r="I40" s="3"/>
      <c r="J40" s="3"/>
      <c r="K40" s="3"/>
      <c r="L40" s="3"/>
      <c r="M40" s="3"/>
    </row>
    <row r="41" spans="3:13" ht="23.25" customHeight="1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3:13" ht="30.75" customHeight="1">
      <c r="C42" s="3"/>
      <c r="D42" s="3" t="s">
        <v>55</v>
      </c>
      <c r="E42" s="3">
        <f>2*4*3</f>
        <v>24</v>
      </c>
      <c r="F42" s="3"/>
      <c r="G42" s="3"/>
      <c r="H42" s="3"/>
      <c r="I42" s="3"/>
      <c r="J42" s="3"/>
      <c r="K42" s="3"/>
      <c r="L42" s="3"/>
      <c r="M42" s="3"/>
    </row>
    <row r="43" spans="3:13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3:13">
      <c r="C44" s="3"/>
      <c r="D44" s="3" t="s">
        <v>56</v>
      </c>
      <c r="E44" s="3">
        <f>E42*MIN(H39:H40)</f>
        <v>1.9244184960000001</v>
      </c>
      <c r="F44" s="3"/>
      <c r="G44" s="3"/>
      <c r="H44" s="3"/>
      <c r="I44" s="3"/>
      <c r="J44" s="3"/>
      <c r="K44" s="3"/>
      <c r="L44" s="3"/>
      <c r="M44" s="3"/>
    </row>
    <row r="45" spans="3:13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3:13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3:13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3:13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3:13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3:13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3:13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3:13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3:13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3:13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3:13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3:13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3:13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3:13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3:13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3:13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3:13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3:13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3:13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3:13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3:13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3:13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3:13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3:13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3:13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3:13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3:13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3:13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3:13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3:13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3:13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3:13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3:13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3:13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3:13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3:13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3:13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3:13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3:13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3:13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3:13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3:13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3:13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3:13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3:13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3:13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3:13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3:13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3:13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3:13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3:13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3:13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3:13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3:13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3:13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3:13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3:13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3:13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3:13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3:13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</sheetData>
  <hyperlinks>
    <hyperlink ref="G27" r:id="rId1"/>
    <hyperlink ref="G23" r:id="rId2"/>
    <hyperlink ref="G22" r:id="rId3"/>
    <hyperlink ref="G17" r:id="rId4"/>
    <hyperlink ref="G18" r:id="rId5" location=":~:text=Backed%20by%2070%2B%20years%20of,two%20days%20in%20a%20crisis."/>
    <hyperlink ref="G26" r:id="rId6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2023-10-23T13:52:08Z</dcterms:modified>
</cp:coreProperties>
</file>